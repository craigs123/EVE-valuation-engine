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33f6df449a52773/Documents/EVE/EVE-valuation-engine/"/>
    </mc:Choice>
  </mc:AlternateContent>
  <xr:revisionPtr revIDLastSave="74" documentId="11_7E652DE828F45CA725D9AAB52C5BDA16E64B0D51" xr6:coauthVersionLast="47" xr6:coauthVersionMax="47" xr10:uidLastSave="{B1296708-31A8-486C-BEE9-BE98E05C3951}"/>
  <bookViews>
    <workbookView xWindow="-120" yWindow="-120" windowWidth="29040" windowHeight="15720" xr2:uid="{00000000-000D-0000-FFFF-FFFF00000000}"/>
  </bookViews>
  <sheets>
    <sheet name="Mangrove Calculator" sheetId="1" r:id="rId1"/>
    <sheet name="Indicator 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L10" i="1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/>
  <c r="H30" i="1" a="1"/>
  <c r="H30" i="1" s="1"/>
  <c r="H31" i="1" a="1"/>
  <c r="H31" i="1" s="1"/>
  <c r="H10" i="1" a="1"/>
  <c r="H10" i="1" s="1"/>
  <c r="F11" i="1" a="1"/>
  <c r="F11" i="1" s="1"/>
  <c r="F12" i="1" a="1"/>
  <c r="F12" i="1" s="1"/>
  <c r="F13" i="1" a="1"/>
  <c r="F13" i="1" s="1"/>
  <c r="F14" i="1" a="1"/>
  <c r="F14" i="1" s="1"/>
  <c r="F15" i="1" a="1"/>
  <c r="F15" i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10" i="1" a="1"/>
  <c r="F10" i="1" s="1"/>
  <c r="J31" i="1"/>
  <c r="E31" i="1"/>
  <c r="D31" i="1"/>
  <c r="L31" i="1" s="1"/>
  <c r="J30" i="1"/>
  <c r="E30" i="1"/>
  <c r="D30" i="1"/>
  <c r="L30" i="1" s="1"/>
  <c r="J29" i="1"/>
  <c r="E29" i="1"/>
  <c r="D29" i="1"/>
  <c r="L29" i="1" s="1"/>
  <c r="J28" i="1"/>
  <c r="E28" i="1"/>
  <c r="D28" i="1"/>
  <c r="L28" i="1" s="1"/>
  <c r="J27" i="1"/>
  <c r="E27" i="1"/>
  <c r="D27" i="1"/>
  <c r="L27" i="1" s="1"/>
  <c r="J26" i="1"/>
  <c r="E26" i="1"/>
  <c r="D26" i="1"/>
  <c r="L26" i="1" s="1"/>
  <c r="J25" i="1"/>
  <c r="E25" i="1"/>
  <c r="D25" i="1"/>
  <c r="L25" i="1" s="1"/>
  <c r="J24" i="1"/>
  <c r="E24" i="1"/>
  <c r="D24" i="1"/>
  <c r="L24" i="1" s="1"/>
  <c r="J23" i="1"/>
  <c r="E23" i="1"/>
  <c r="D23" i="1"/>
  <c r="L23" i="1" s="1"/>
  <c r="J22" i="1"/>
  <c r="E22" i="1"/>
  <c r="D22" i="1"/>
  <c r="J21" i="1"/>
  <c r="E21" i="1"/>
  <c r="D21" i="1"/>
  <c r="L21" i="1" s="1"/>
  <c r="J20" i="1"/>
  <c r="E20" i="1"/>
  <c r="D20" i="1"/>
  <c r="L20" i="1" s="1"/>
  <c r="J19" i="1"/>
  <c r="E19" i="1"/>
  <c r="D19" i="1"/>
  <c r="L19" i="1" s="1"/>
  <c r="J18" i="1"/>
  <c r="E18" i="1"/>
  <c r="D18" i="1"/>
  <c r="L18" i="1" s="1"/>
  <c r="J17" i="1"/>
  <c r="E17" i="1"/>
  <c r="D17" i="1"/>
  <c r="L17" i="1" s="1"/>
  <c r="J16" i="1"/>
  <c r="E16" i="1"/>
  <c r="D16" i="1"/>
  <c r="L16" i="1" s="1"/>
  <c r="J15" i="1"/>
  <c r="E15" i="1"/>
  <c r="D15" i="1"/>
  <c r="L15" i="1" s="1"/>
  <c r="J14" i="1"/>
  <c r="E14" i="1"/>
  <c r="D14" i="1"/>
  <c r="L14" i="1" s="1"/>
  <c r="J13" i="1"/>
  <c r="E13" i="1"/>
  <c r="D13" i="1"/>
  <c r="L13" i="1" s="1"/>
  <c r="J12" i="1"/>
  <c r="E12" i="1"/>
  <c r="D12" i="1"/>
  <c r="L12" i="1" s="1"/>
  <c r="J11" i="1"/>
  <c r="E11" i="1"/>
  <c r="D11" i="1"/>
  <c r="L11" i="1" s="1"/>
  <c r="E10" i="1"/>
  <c r="D10" i="1"/>
  <c r="L22" i="1" l="1"/>
  <c r="L32" i="1"/>
  <c r="L3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<sst xmlns="http://schemas.openxmlformats.org/spreadsheetml/2006/main" count="179" uniqueCount="72">
  <si>
    <t>EVE Mangrove Ecosystem Services — Test Calculator</t>
  </si>
  <si>
    <t>Inputs (yellow cells — edit me)</t>
  </si>
  <si>
    <t>Area (ha)</t>
  </si>
  <si>
    <t>Intactness multiplier (0.0–1.0)</t>
  </si>
  <si>
    <t>Regional adjustment factor (0.4–2.5)</t>
  </si>
  <si>
    <t>Sundarbans (India) regional factor</t>
  </si>
  <si>
    <t>← copy into B6 to test the Sundarbans Mangrove test area</t>
  </si>
  <si>
    <t>Service</t>
  </si>
  <si>
    <t>Category</t>
  </si>
  <si>
    <t>Coefficient (Int$/ha/yr)</t>
  </si>
  <si>
    <t>× Area</t>
  </si>
  <si>
    <t>× Regional</t>
  </si>
  <si>
    <t>Contribution (Int$/yr)</t>
  </si>
  <si>
    <t>Food</t>
  </si>
  <si>
    <t>Provisioning</t>
  </si>
  <si>
    <t>Water</t>
  </si>
  <si>
    <t>Raw materials</t>
  </si>
  <si>
    <t>Genetic resources</t>
  </si>
  <si>
    <t>Medicinal resources</t>
  </si>
  <si>
    <t>Ornamental resources</t>
  </si>
  <si>
    <t>Air quality regulation</t>
  </si>
  <si>
    <t>Regulating</t>
  </si>
  <si>
    <t>Climate regulation</t>
  </si>
  <si>
    <t>Moderation of extreme events</t>
  </si>
  <si>
    <t>Water flow regulation</t>
  </si>
  <si>
    <t>Waste treatment / water purification</t>
  </si>
  <si>
    <t>Erosion prevention</t>
  </si>
  <si>
    <t>Soil formation / nutrient cycling</t>
  </si>
  <si>
    <t>Pollination</t>
  </si>
  <si>
    <t>Biological control</t>
  </si>
  <si>
    <t>Maintenance of life cycles (nursery)</t>
  </si>
  <si>
    <t>Supporting</t>
  </si>
  <si>
    <t>Habitat / Genetic diversity</t>
  </si>
  <si>
    <t>Aesthetic information</t>
  </si>
  <si>
    <t>Cultural</t>
  </si>
  <si>
    <t>Recreation &amp; tourism</t>
  </si>
  <si>
    <t>Inspiration / culture</t>
  </si>
  <si>
    <t>Spiritual experience</t>
  </si>
  <si>
    <t>Cognitive development</t>
  </si>
  <si>
    <t>TOTAL ANNUAL VALUE</t>
  </si>
  <si>
    <t>Total per hectare (Int$/ha/yr)</t>
  </si>
  <si>
    <t>Notes:</t>
  </si>
  <si>
    <t>• Coefficients sourced from TEEB analysis (ESVD 2.4.2 medians with literature substitutions where ESVD data is sparse).</t>
  </si>
  <si>
    <t>• Multipliers in this sheet are applied uniformly across all services — i.e. it mirrors the legacy BBI calculation mode.</t>
  </si>
  <si>
    <t>• To test the Sundarbans Mangrove test area in EVE: set Area=1000, Intactness=1.0, Regional=0.51 → expected $15,764,610/yr.</t>
  </si>
  <si>
    <t>• Indicator-driven (non-uniform) multipliers are NOT modelled in this sheet — for those, use the EVE results page sub-service breakdown.</t>
  </si>
  <si>
    <t>• Coefficient source: utils/precomputed_esvd_coefficients.py · ecosystem-dict key 'mangroves' · base sum = $30,911/ha/yr.</t>
  </si>
  <si>
    <t>Indicator → Sub-service mapping (Mangrove)</t>
  </si>
  <si>
    <t>Each cell shows how strongly an indicator drives the multiplier for that sub-service. Green = primary (weight 1.0), light-green = secondary (weight 0.5), amber = cross-cutting (HD applies to all).</t>
  </si>
  <si>
    <t>Indicator</t>
  </si>
  <si>
    <t>M1: Canopy Cover</t>
  </si>
  <si>
    <t>S</t>
  </si>
  <si>
    <t>P</t>
  </si>
  <si>
    <t>M2: Seedling and Sapling Density</t>
  </si>
  <si>
    <t>M3: Natural Recruitment</t>
  </si>
  <si>
    <t>M4: Tidal Flow and Hydrological Function</t>
  </si>
  <si>
    <t>M5: Water Clarity</t>
  </si>
  <si>
    <t>M6: Wildlife and Fauna Signs</t>
  </si>
  <si>
    <t>M7: Invasive Species Pressure</t>
  </si>
  <si>
    <t>HD: Human Disturbance Pressure (Required)</t>
  </si>
  <si>
    <t>C</t>
  </si>
  <si>
    <t>Legend</t>
  </si>
  <si>
    <t>P = Primary (weight 1.0)</t>
  </si>
  <si>
    <t>S = Secondary (weight 0.5)</t>
  </si>
  <si>
    <t>C = Cross-cutting (HD multiplier applied to all)</t>
  </si>
  <si>
    <t>Blank = indicator does not affect this sub-service</t>
  </si>
  <si>
    <t>M1 indicator</t>
  </si>
  <si>
    <t>M4 indicator</t>
  </si>
  <si>
    <t>M1 answer</t>
  </si>
  <si>
    <t>M4 answer</t>
  </si>
  <si>
    <t>Final</t>
  </si>
  <si>
    <t>HD/BBI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</si>
</sst>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4"/>
      <color rgb="FF1B5E20"/>
      <name val="Calibri"/>
    </font>
    <font>
      <b/>
      <sz val="11"/>
      <color rgb="FF594400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2"/>
      <name val="Calibri"/>
    </font>
    <font>
      <b/>
      <sz val="12"/>
      <color rgb="FF1B5E20"/>
      <name val="Calibri"/>
    </font>
    <font>
      <b/>
      <sz val="11"/>
      <name val="Calibri"/>
    </font>
    <font>
      <sz val="10"/>
      <color rgb="FF6B7280"/>
      <name val="Calibri"/>
    </font>
    <font>
      <i/>
      <sz val="10"/>
      <color rgb="FF6B7280"/>
      <name val="Calibri"/>
    </font>
    <font>
      <b/>
      <sz val="11"/>
      <color rgb="FF1B5E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F5F7FA"/>
        <bgColor rgb="FFF5F7FA"/>
      </patternFill>
    </fill>
    <fill>
      <patternFill patternType="solid">
        <fgColor rgb="FFAED581"/>
        <bgColor rgb="FFAED581"/>
      </patternFill>
    </fill>
    <fill>
      <patternFill patternType="solid">
        <fgColor rgb="FFFB8C00"/>
        <bgColor rgb="FFFB8C00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0">
    <xf numFmtId="0" fontId="0" fillId="0" borderId="0" xfId="0"/>
    <xf numFmtId="4" fontId="0" fillId="2" borderId="1" xfId="0" applyNumberFormat="1" applyFill="1" applyBorder="1"/>
    <xf numFmtId="2" fontId="0" fillId="2" borderId="1" xfId="0" applyNumberFormat="1" applyFill="1" applyBorder="1"/>
    <xf numFmtId="2" fontId="3" fillId="0" borderId="0" xfId="0" applyNumberFormat="1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4" fontId="6" fillId="4" borderId="1" xfId="0" applyNumberFormat="1" applyFont="1" applyFill="1" applyBorder="1"/>
    <xf numFmtId="164" fontId="3" fillId="0" borderId="0" xfId="0" applyNumberFormat="1" applyFont="1"/>
    <xf numFmtId="0" fontId="4" fillId="3" borderId="1" xfId="0" applyFont="1" applyFill="1" applyBorder="1" applyAlignment="1">
      <alignment horizontal="center" textRotation="60" wrapText="1"/>
    </xf>
    <xf numFmtId="0" fontId="10" fillId="5" borderId="1" xfId="0" applyFont="1" applyFill="1" applyBorder="1"/>
    <xf numFmtId="0" fontId="10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/>
    <xf numFmtId="0" fontId="4" fillId="7" borderId="1" xfId="0" applyFont="1" applyFill="1" applyBorder="1" applyAlignment="1">
      <alignment horizontal="center" vertical="center"/>
    </xf>
    <xf numFmtId="0" fontId="7" fillId="0" borderId="0" xfId="0" applyFont="1"/>
    <xf numFmtId="0" fontId="4" fillId="3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/>
    <xf numFmtId="0" fontId="8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5" fillId="4" borderId="0" xfId="0" applyFont="1" applyFill="1"/>
    <xf numFmtId="0" fontId="7" fillId="0" borderId="0" xfId="0" applyFont="1" applyAlignment="1">
      <alignment vertical="top"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252734-00D4-47D1-813B-E457EBA2406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1d00f15-fe2d-42c4-a362-c28c7bac441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B1" workbookViewId="0">
      <selection activeCell="E10" sqref="E10"/>
    </sheetView>
  </sheetViews>
  <sheetFormatPr defaultRowHeight="15" x14ac:dyDescent="0.25"/>
  <cols>
    <col min="1" max="1" width="38" customWidth="1"/>
    <col min="2" max="2" width="14" customWidth="1"/>
    <col min="3" max="3" width="24" customWidth="1"/>
    <col min="4" max="4" width="11" customWidth="1"/>
    <col min="5" max="9" width="13" customWidth="1"/>
    <col min="10" max="11" width="12" customWidth="1"/>
    <col min="12" max="12" width="22" customWidth="1"/>
  </cols>
  <sheetData>
    <row r="1" spans="1:12" ht="18.75" x14ac:dyDescent="0.3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spans="1:12" x14ac:dyDescent="0.25">
      <c r="A3" s="26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25">
      <c r="A4" t="s">
        <v>2</v>
      </c>
      <c r="B4" s="1">
        <v>1000</v>
      </c>
    </row>
    <row r="5" spans="1:12" x14ac:dyDescent="0.25">
      <c r="A5" t="s">
        <v>3</v>
      </c>
      <c r="B5" s="2">
        <v>1</v>
      </c>
    </row>
    <row r="6" spans="1:12" x14ac:dyDescent="0.25">
      <c r="A6" t="s">
        <v>4</v>
      </c>
      <c r="B6" s="2">
        <v>1</v>
      </c>
    </row>
    <row r="7" spans="1:12" x14ac:dyDescent="0.25">
      <c r="A7" t="s">
        <v>5</v>
      </c>
      <c r="B7" s="3">
        <v>0.51</v>
      </c>
      <c r="C7" s="4" t="s">
        <v>6</v>
      </c>
    </row>
    <row r="9" spans="1:12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71</v>
      </c>
      <c r="F9" s="5" t="s">
        <v>66</v>
      </c>
      <c r="G9" s="5" t="s">
        <v>68</v>
      </c>
      <c r="H9" s="5" t="s">
        <v>67</v>
      </c>
      <c r="I9" s="5" t="s">
        <v>69</v>
      </c>
      <c r="J9" s="5" t="s">
        <v>11</v>
      </c>
      <c r="K9" s="5" t="s">
        <v>70</v>
      </c>
      <c r="L9" s="5" t="s">
        <v>12</v>
      </c>
    </row>
    <row r="10" spans="1:12" x14ac:dyDescent="0.25">
      <c r="A10" s="6" t="s">
        <v>13</v>
      </c>
      <c r="B10" s="6" t="s">
        <v>14</v>
      </c>
      <c r="C10" s="7">
        <v>117</v>
      </c>
      <c r="D10" s="7">
        <f t="shared" ref="D10:D31" si="0">$B$4</f>
        <v>1000</v>
      </c>
      <c r="E10" s="8">
        <f t="shared" ref="E10:E31" si="1">$B$5</f>
        <v>1</v>
      </c>
      <c r="F10" s="8" cm="1">
        <f t="array" ref="F10">IFERROR(_xlfn.SWITCH(HLOOKUP(A10, 'Indicator Mapping'!$B$4:$W$5, 2, FALSE), "P", 1, "S", 0.5, 0), 0)</f>
        <v>0.5</v>
      </c>
      <c r="G10" s="8">
        <v>0.5</v>
      </c>
      <c r="H10" s="8" cm="1">
        <f t="array" ref="H10">_xlfn.SWITCH(HLOOKUP(A10, 'Indicator Mapping'!$A$4:$W$12, 5, FALSE), "P", 1, "S", 0.5, 0)</f>
        <v>0.5</v>
      </c>
      <c r="I10" s="8">
        <v>0.5</v>
      </c>
      <c r="J10" s="8">
        <v>0.51</v>
      </c>
      <c r="K10" s="8">
        <f>(((G10*F10)+(H10*I10))/1)*J10*E10</f>
        <v>0.255</v>
      </c>
      <c r="L10" s="9">
        <f>C10*D10*K10</f>
        <v>29835</v>
      </c>
    </row>
    <row r="11" spans="1:12" x14ac:dyDescent="0.25">
      <c r="A11" s="6" t="s">
        <v>15</v>
      </c>
      <c r="B11" s="6" t="s">
        <v>14</v>
      </c>
      <c r="C11" s="7">
        <v>6070</v>
      </c>
      <c r="D11" s="7">
        <f t="shared" si="0"/>
        <v>1000</v>
      </c>
      <c r="E11" s="8">
        <f t="shared" si="1"/>
        <v>1</v>
      </c>
      <c r="F11" s="8" cm="1">
        <f t="array" ref="F11">IFERROR(_xlfn.SWITCH(HLOOKUP(A11, 'Indicator Mapping'!$B$4:$W$5, 2, FALSE), "P", 1, "S", 0.5, 0), 0)</f>
        <v>0.5</v>
      </c>
      <c r="G11" s="8">
        <v>1</v>
      </c>
      <c r="H11" s="8" cm="1">
        <f t="array" ref="H11">_xlfn.SWITCH(HLOOKUP(A11, 'Indicator Mapping'!$A$4:$W$12, 5, FALSE), "P", 1, "S", 0.5, 0)</f>
        <v>1</v>
      </c>
      <c r="I11" s="8">
        <v>1</v>
      </c>
      <c r="J11" s="8">
        <f t="shared" ref="J10:J31" si="2">$B$6</f>
        <v>1</v>
      </c>
      <c r="K11" s="8">
        <f t="shared" ref="K11:K31" si="3">((G11*F11)+(H11*I11))/1</f>
        <v>1.5</v>
      </c>
      <c r="L11" s="9">
        <f t="shared" ref="L11:L31" si="4">C11*D11*$B$4*$B$5*$B$6*F11*G11*H11*I11</f>
        <v>3035000000</v>
      </c>
    </row>
    <row r="12" spans="1:12" x14ac:dyDescent="0.25">
      <c r="A12" s="6" t="s">
        <v>16</v>
      </c>
      <c r="B12" s="6" t="s">
        <v>14</v>
      </c>
      <c r="C12" s="7">
        <v>15</v>
      </c>
      <c r="D12" s="7">
        <f t="shared" si="0"/>
        <v>1000</v>
      </c>
      <c r="E12" s="8">
        <f t="shared" si="1"/>
        <v>1</v>
      </c>
      <c r="F12" s="8" cm="1">
        <f t="array" ref="F12">IFERROR(_xlfn.SWITCH(HLOOKUP(A12, 'Indicator Mapping'!$B$4:$W$5, 2, FALSE), "P", 1, "S", 0.5, 0), 0)</f>
        <v>1</v>
      </c>
      <c r="G12" s="8">
        <v>1</v>
      </c>
      <c r="H12" s="8" cm="1">
        <f t="array" ref="H12">_xlfn.SWITCH(HLOOKUP(A12, 'Indicator Mapping'!$A$4:$W$12, 5, FALSE), "P", 1, "S", 0.5, 0)</f>
        <v>0</v>
      </c>
      <c r="I12" s="8">
        <v>1</v>
      </c>
      <c r="J12" s="8">
        <f t="shared" si="2"/>
        <v>1</v>
      </c>
      <c r="K12" s="8">
        <f t="shared" si="3"/>
        <v>1</v>
      </c>
      <c r="L12" s="9">
        <f t="shared" si="4"/>
        <v>0</v>
      </c>
    </row>
    <row r="13" spans="1:12" x14ac:dyDescent="0.25">
      <c r="A13" s="6" t="s">
        <v>17</v>
      </c>
      <c r="B13" s="6" t="s">
        <v>14</v>
      </c>
      <c r="C13" s="7">
        <v>4</v>
      </c>
      <c r="D13" s="7">
        <f t="shared" si="0"/>
        <v>1000</v>
      </c>
      <c r="E13" s="8">
        <f t="shared" si="1"/>
        <v>1</v>
      </c>
      <c r="F13" s="8" cm="1">
        <f t="array" ref="F13">IFERROR(_xlfn.SWITCH(HLOOKUP(A13, 'Indicator Mapping'!$B$4:$W$5, 2, FALSE), "P", 1, "S", 0.5, 0), 0)</f>
        <v>0</v>
      </c>
      <c r="G13" s="8">
        <v>1</v>
      </c>
      <c r="H13" s="8" cm="1">
        <f t="array" ref="H13">_xlfn.SWITCH(HLOOKUP(A13, 'Indicator Mapping'!$A$4:$W$12, 5, FALSE), "P", 1, "S", 0.5, 0)</f>
        <v>0</v>
      </c>
      <c r="I13" s="8">
        <v>1</v>
      </c>
      <c r="J13" s="8">
        <f t="shared" si="2"/>
        <v>1</v>
      </c>
      <c r="K13" s="8">
        <f t="shared" si="3"/>
        <v>0</v>
      </c>
      <c r="L13" s="9">
        <f t="shared" si="4"/>
        <v>0</v>
      </c>
    </row>
    <row r="14" spans="1:12" x14ac:dyDescent="0.25">
      <c r="A14" s="6" t="s">
        <v>18</v>
      </c>
      <c r="B14" s="6" t="s">
        <v>14</v>
      </c>
      <c r="C14" s="7">
        <v>299</v>
      </c>
      <c r="D14" s="7">
        <f t="shared" si="0"/>
        <v>1000</v>
      </c>
      <c r="E14" s="8">
        <f t="shared" si="1"/>
        <v>1</v>
      </c>
      <c r="F14" s="8" cm="1">
        <f t="array" ref="F14">IFERROR(_xlfn.SWITCH(HLOOKUP(A14, 'Indicator Mapping'!$B$4:$W$5, 2, FALSE), "P", 1, "S", 0.5, 0), 0)</f>
        <v>0</v>
      </c>
      <c r="G14" s="8">
        <v>1</v>
      </c>
      <c r="H14" s="8" cm="1">
        <f t="array" ref="H14">_xlfn.SWITCH(HLOOKUP(A14, 'Indicator Mapping'!$A$4:$W$12, 5, FALSE), "P", 1, "S", 0.5, 0)</f>
        <v>0</v>
      </c>
      <c r="I14" s="8">
        <v>1</v>
      </c>
      <c r="J14" s="8">
        <f t="shared" si="2"/>
        <v>1</v>
      </c>
      <c r="K14" s="8">
        <f t="shared" si="3"/>
        <v>0</v>
      </c>
      <c r="L14" s="9">
        <f t="shared" si="4"/>
        <v>0</v>
      </c>
    </row>
    <row r="15" spans="1:12" x14ac:dyDescent="0.25">
      <c r="A15" s="6" t="s">
        <v>19</v>
      </c>
      <c r="B15" s="6" t="s">
        <v>14</v>
      </c>
      <c r="C15" s="7">
        <v>0</v>
      </c>
      <c r="D15" s="7">
        <f t="shared" si="0"/>
        <v>1000</v>
      </c>
      <c r="E15" s="8">
        <f t="shared" si="1"/>
        <v>1</v>
      </c>
      <c r="F15" s="8" cm="1">
        <f t="array" ref="F15">IFERROR(_xlfn.SWITCH(HLOOKUP(A15, 'Indicator Mapping'!$B$4:$W$5, 2, FALSE), "P", 1, "S", 0.5, 0), 0)</f>
        <v>0</v>
      </c>
      <c r="G15" s="8">
        <v>1</v>
      </c>
      <c r="H15" s="8" cm="1">
        <f t="array" ref="H15">_xlfn.SWITCH(HLOOKUP(A15, 'Indicator Mapping'!$A$4:$W$12, 5, FALSE), "P", 1, "S", 0.5, 0)</f>
        <v>0</v>
      </c>
      <c r="I15" s="8">
        <v>1</v>
      </c>
      <c r="J15" s="8">
        <f t="shared" si="2"/>
        <v>1</v>
      </c>
      <c r="K15" s="8">
        <f t="shared" si="3"/>
        <v>0</v>
      </c>
      <c r="L15" s="9">
        <f t="shared" si="4"/>
        <v>0</v>
      </c>
    </row>
    <row r="16" spans="1:12" x14ac:dyDescent="0.25">
      <c r="A16" s="6" t="s">
        <v>20</v>
      </c>
      <c r="B16" s="6" t="s">
        <v>21</v>
      </c>
      <c r="C16" s="7">
        <v>705</v>
      </c>
      <c r="D16" s="7">
        <f t="shared" si="0"/>
        <v>1000</v>
      </c>
      <c r="E16" s="8">
        <f t="shared" si="1"/>
        <v>1</v>
      </c>
      <c r="F16" s="8" cm="1">
        <f t="array" ref="F16">IFERROR(_xlfn.SWITCH(HLOOKUP(A16, 'Indicator Mapping'!$B$4:$W$5, 2, FALSE), "P", 1, "S", 0.5, 0), 0)</f>
        <v>1</v>
      </c>
      <c r="G16" s="8">
        <v>1</v>
      </c>
      <c r="H16" s="8" cm="1">
        <f t="array" ref="H16">_xlfn.SWITCH(HLOOKUP(A16, 'Indicator Mapping'!$A$4:$W$12, 5, FALSE), "P", 1, "S", 0.5, 0)</f>
        <v>0</v>
      </c>
      <c r="I16" s="8">
        <v>1</v>
      </c>
      <c r="J16" s="8">
        <f t="shared" si="2"/>
        <v>1</v>
      </c>
      <c r="K16" s="8">
        <f t="shared" si="3"/>
        <v>1</v>
      </c>
      <c r="L16" s="9">
        <f t="shared" si="4"/>
        <v>0</v>
      </c>
    </row>
    <row r="17" spans="1:12" x14ac:dyDescent="0.25">
      <c r="A17" s="6" t="s">
        <v>22</v>
      </c>
      <c r="B17" s="6" t="s">
        <v>21</v>
      </c>
      <c r="C17" s="7">
        <v>3417</v>
      </c>
      <c r="D17" s="7">
        <f t="shared" si="0"/>
        <v>1000</v>
      </c>
      <c r="E17" s="8">
        <f t="shared" si="1"/>
        <v>1</v>
      </c>
      <c r="F17" s="8" cm="1">
        <f t="array" ref="F17">IFERROR(_xlfn.SWITCH(HLOOKUP(A17, 'Indicator Mapping'!$B$4:$W$5, 2, FALSE), "P", 1, "S", 0.5, 0), 0)</f>
        <v>1</v>
      </c>
      <c r="G17" s="8">
        <v>1</v>
      </c>
      <c r="H17" s="8" cm="1">
        <f t="array" ref="H17">_xlfn.SWITCH(HLOOKUP(A17, 'Indicator Mapping'!$A$4:$W$12, 5, FALSE), "P", 1, "S", 0.5, 0)</f>
        <v>0.5</v>
      </c>
      <c r="I17" s="8">
        <v>1</v>
      </c>
      <c r="J17" s="8">
        <f t="shared" si="2"/>
        <v>1</v>
      </c>
      <c r="K17" s="8">
        <f t="shared" si="3"/>
        <v>1.5</v>
      </c>
      <c r="L17" s="9">
        <f t="shared" si="4"/>
        <v>1708500000</v>
      </c>
    </row>
    <row r="18" spans="1:12" x14ac:dyDescent="0.25">
      <c r="A18" s="6" t="s">
        <v>23</v>
      </c>
      <c r="B18" s="6" t="s">
        <v>21</v>
      </c>
      <c r="C18" s="7">
        <v>5384</v>
      </c>
      <c r="D18" s="7">
        <f t="shared" si="0"/>
        <v>1000</v>
      </c>
      <c r="E18" s="8">
        <f t="shared" si="1"/>
        <v>1</v>
      </c>
      <c r="F18" s="8" cm="1">
        <f t="array" ref="F18">IFERROR(_xlfn.SWITCH(HLOOKUP(A18, 'Indicator Mapping'!$B$4:$W$5, 2, FALSE), "P", 1, "S", 0.5, 0), 0)</f>
        <v>1</v>
      </c>
      <c r="G18" s="8">
        <v>1</v>
      </c>
      <c r="H18" s="8" cm="1">
        <f t="array" ref="H18">_xlfn.SWITCH(HLOOKUP(A18, 'Indicator Mapping'!$A$4:$W$12, 5, FALSE), "P", 1, "S", 0.5, 0)</f>
        <v>1</v>
      </c>
      <c r="I18" s="8">
        <v>1</v>
      </c>
      <c r="J18" s="8">
        <f t="shared" si="2"/>
        <v>1</v>
      </c>
      <c r="K18" s="8">
        <f t="shared" si="3"/>
        <v>2</v>
      </c>
      <c r="L18" s="9">
        <f t="shared" si="4"/>
        <v>5384000000</v>
      </c>
    </row>
    <row r="19" spans="1:12" x14ac:dyDescent="0.25">
      <c r="A19" s="6" t="s">
        <v>24</v>
      </c>
      <c r="B19" s="6" t="s">
        <v>21</v>
      </c>
      <c r="C19" s="7">
        <v>0</v>
      </c>
      <c r="D19" s="7">
        <f t="shared" si="0"/>
        <v>1000</v>
      </c>
      <c r="E19" s="8">
        <f t="shared" si="1"/>
        <v>1</v>
      </c>
      <c r="F19" s="8" cm="1">
        <f t="array" ref="F19">IFERROR(_xlfn.SWITCH(HLOOKUP(A19, 'Indicator Mapping'!$B$4:$W$5, 2, FALSE), "P", 1, "S", 0.5, 0), 0)</f>
        <v>0</v>
      </c>
      <c r="G19" s="8">
        <v>1</v>
      </c>
      <c r="H19" s="8" cm="1">
        <f t="array" ref="H19">_xlfn.SWITCH(HLOOKUP(A19, 'Indicator Mapping'!$A$4:$W$12, 5, FALSE), "P", 1, "S", 0.5, 0)</f>
        <v>1</v>
      </c>
      <c r="I19" s="8">
        <v>1</v>
      </c>
      <c r="J19" s="8">
        <f t="shared" si="2"/>
        <v>1</v>
      </c>
      <c r="K19" s="8">
        <f t="shared" si="3"/>
        <v>1</v>
      </c>
      <c r="L19" s="9">
        <f t="shared" si="4"/>
        <v>0</v>
      </c>
    </row>
    <row r="20" spans="1:12" x14ac:dyDescent="0.25">
      <c r="A20" s="6" t="s">
        <v>25</v>
      </c>
      <c r="B20" s="6" t="s">
        <v>21</v>
      </c>
      <c r="C20" s="7">
        <v>7119</v>
      </c>
      <c r="D20" s="7">
        <f t="shared" si="0"/>
        <v>1000</v>
      </c>
      <c r="E20" s="8">
        <f t="shared" si="1"/>
        <v>1</v>
      </c>
      <c r="F20" s="8" cm="1">
        <f t="array" ref="F20">IFERROR(_xlfn.SWITCH(HLOOKUP(A20, 'Indicator Mapping'!$B$4:$W$5, 2, FALSE), "P", 1, "S", 0.5, 0), 0)</f>
        <v>0.5</v>
      </c>
      <c r="G20" s="8">
        <v>1</v>
      </c>
      <c r="H20" s="8" cm="1">
        <f t="array" ref="H20">_xlfn.SWITCH(HLOOKUP(A20, 'Indicator Mapping'!$A$4:$W$12, 5, FALSE), "P", 1, "S", 0.5, 0)</f>
        <v>1</v>
      </c>
      <c r="I20" s="8">
        <v>1</v>
      </c>
      <c r="J20" s="8">
        <f t="shared" si="2"/>
        <v>1</v>
      </c>
      <c r="K20" s="8">
        <f t="shared" si="3"/>
        <v>1.5</v>
      </c>
      <c r="L20" s="9">
        <f t="shared" si="4"/>
        <v>3559500000</v>
      </c>
    </row>
    <row r="21" spans="1:12" x14ac:dyDescent="0.25">
      <c r="A21" s="6" t="s">
        <v>26</v>
      </c>
      <c r="B21" s="6" t="s">
        <v>21</v>
      </c>
      <c r="C21" s="7">
        <v>1005</v>
      </c>
      <c r="D21" s="7">
        <f t="shared" si="0"/>
        <v>1000</v>
      </c>
      <c r="E21" s="8">
        <f t="shared" si="1"/>
        <v>1</v>
      </c>
      <c r="F21" s="8" cm="1">
        <f t="array" ref="F21">IFERROR(_xlfn.SWITCH(HLOOKUP(A21, 'Indicator Mapping'!$B$4:$W$5, 2, FALSE), "P", 1, "S", 0.5, 0), 0)</f>
        <v>1</v>
      </c>
      <c r="G21" s="8">
        <v>1</v>
      </c>
      <c r="H21" s="8" cm="1">
        <f t="array" ref="H21">_xlfn.SWITCH(HLOOKUP(A21, 'Indicator Mapping'!$A$4:$W$12, 5, FALSE), "P", 1, "S", 0.5, 0)</f>
        <v>0</v>
      </c>
      <c r="I21" s="8">
        <v>1</v>
      </c>
      <c r="J21" s="8">
        <f t="shared" si="2"/>
        <v>1</v>
      </c>
      <c r="K21" s="8">
        <f t="shared" si="3"/>
        <v>1</v>
      </c>
      <c r="L21" s="9">
        <f t="shared" si="4"/>
        <v>0</v>
      </c>
    </row>
    <row r="22" spans="1:12" x14ac:dyDescent="0.25">
      <c r="A22" s="6" t="s">
        <v>27</v>
      </c>
      <c r="B22" s="6" t="s">
        <v>21</v>
      </c>
      <c r="C22" s="7">
        <v>670</v>
      </c>
      <c r="D22" s="7">
        <f t="shared" si="0"/>
        <v>1000</v>
      </c>
      <c r="E22" s="8">
        <f t="shared" si="1"/>
        <v>1</v>
      </c>
      <c r="F22" s="8" cm="1">
        <f t="array" ref="F22">IFERROR(_xlfn.SWITCH(HLOOKUP(A22, 'Indicator Mapping'!$B$4:$W$5, 2, FALSE), "P", 1, "S", 0.5, 0), 0)</f>
        <v>0</v>
      </c>
      <c r="G22" s="8">
        <v>1</v>
      </c>
      <c r="H22" s="8" cm="1">
        <f t="array" ref="H22">_xlfn.SWITCH(HLOOKUP(A22, 'Indicator Mapping'!$A$4:$W$12, 5, FALSE), "P", 1, "S", 0.5, 0)</f>
        <v>0</v>
      </c>
      <c r="I22" s="8">
        <v>1</v>
      </c>
      <c r="J22" s="8">
        <f t="shared" si="2"/>
        <v>1</v>
      </c>
      <c r="K22" s="8">
        <f t="shared" si="3"/>
        <v>0</v>
      </c>
      <c r="L22" s="9">
        <f t="shared" si="4"/>
        <v>0</v>
      </c>
    </row>
    <row r="23" spans="1:12" x14ac:dyDescent="0.25">
      <c r="A23" s="6" t="s">
        <v>28</v>
      </c>
      <c r="B23" s="6" t="s">
        <v>21</v>
      </c>
      <c r="C23" s="7">
        <v>0</v>
      </c>
      <c r="D23" s="7">
        <f t="shared" si="0"/>
        <v>1000</v>
      </c>
      <c r="E23" s="8">
        <f t="shared" si="1"/>
        <v>1</v>
      </c>
      <c r="F23" s="8" cm="1">
        <f t="array" ref="F23">IFERROR(_xlfn.SWITCH(HLOOKUP(A23, 'Indicator Mapping'!$B$4:$W$5, 2, FALSE), "P", 1, "S", 0.5, 0), 0)</f>
        <v>0</v>
      </c>
      <c r="G23" s="8">
        <v>1</v>
      </c>
      <c r="H23" s="8" cm="1">
        <f t="array" ref="H23">_xlfn.SWITCH(HLOOKUP(A23, 'Indicator Mapping'!$A$4:$W$12, 5, FALSE), "P", 1, "S", 0.5, 0)</f>
        <v>0</v>
      </c>
      <c r="I23" s="8">
        <v>1</v>
      </c>
      <c r="J23" s="8">
        <f t="shared" si="2"/>
        <v>1</v>
      </c>
      <c r="K23" s="8">
        <f t="shared" si="3"/>
        <v>0</v>
      </c>
      <c r="L23" s="9">
        <f t="shared" si="4"/>
        <v>0</v>
      </c>
    </row>
    <row r="24" spans="1:12" x14ac:dyDescent="0.25">
      <c r="A24" s="6" t="s">
        <v>29</v>
      </c>
      <c r="B24" s="6" t="s">
        <v>21</v>
      </c>
      <c r="C24" s="7">
        <v>0</v>
      </c>
      <c r="D24" s="7">
        <f t="shared" si="0"/>
        <v>1000</v>
      </c>
      <c r="E24" s="8">
        <f t="shared" si="1"/>
        <v>1</v>
      </c>
      <c r="F24" s="8" cm="1">
        <f t="array" ref="F24">IFERROR(_xlfn.SWITCH(HLOOKUP(A24, 'Indicator Mapping'!$B$4:$W$5, 2, FALSE), "P", 1, "S", 0.5, 0), 0)</f>
        <v>0</v>
      </c>
      <c r="G24" s="8">
        <v>1</v>
      </c>
      <c r="H24" s="8" cm="1">
        <f t="array" ref="H24">_xlfn.SWITCH(HLOOKUP(A24, 'Indicator Mapping'!$A$4:$W$12, 5, FALSE), "P", 1, "S", 0.5, 0)</f>
        <v>0</v>
      </c>
      <c r="I24" s="8">
        <v>1</v>
      </c>
      <c r="J24" s="8">
        <f t="shared" si="2"/>
        <v>1</v>
      </c>
      <c r="K24" s="8">
        <f t="shared" si="3"/>
        <v>0</v>
      </c>
      <c r="L24" s="9">
        <f t="shared" si="4"/>
        <v>0</v>
      </c>
    </row>
    <row r="25" spans="1:12" x14ac:dyDescent="0.25">
      <c r="A25" s="6" t="s">
        <v>30</v>
      </c>
      <c r="B25" s="6" t="s">
        <v>31</v>
      </c>
      <c r="C25" s="7">
        <v>743</v>
      </c>
      <c r="D25" s="7">
        <f t="shared" si="0"/>
        <v>1000</v>
      </c>
      <c r="E25" s="8">
        <f t="shared" si="1"/>
        <v>1</v>
      </c>
      <c r="F25" s="8" cm="1">
        <f t="array" ref="F25">IFERROR(_xlfn.SWITCH(HLOOKUP(A25, 'Indicator Mapping'!$B$4:$W$5, 2, FALSE), "P", 1, "S", 0.5, 0), 0)</f>
        <v>0</v>
      </c>
      <c r="G25" s="8">
        <v>1</v>
      </c>
      <c r="H25" s="8" cm="1">
        <f t="array" ref="H25">_xlfn.SWITCH(HLOOKUP(A25, 'Indicator Mapping'!$A$4:$W$12, 5, FALSE), "P", 1, "S", 0.5, 0)</f>
        <v>0</v>
      </c>
      <c r="I25" s="8">
        <v>1</v>
      </c>
      <c r="J25" s="8">
        <f t="shared" si="2"/>
        <v>1</v>
      </c>
      <c r="K25" s="8">
        <f t="shared" si="3"/>
        <v>0</v>
      </c>
      <c r="L25" s="9">
        <f t="shared" si="4"/>
        <v>0</v>
      </c>
    </row>
    <row r="26" spans="1:12" x14ac:dyDescent="0.25">
      <c r="A26" s="6" t="s">
        <v>32</v>
      </c>
      <c r="B26" s="6" t="s">
        <v>31</v>
      </c>
      <c r="C26" s="7">
        <v>3190</v>
      </c>
      <c r="D26" s="7">
        <f t="shared" si="0"/>
        <v>1000</v>
      </c>
      <c r="E26" s="8">
        <f t="shared" si="1"/>
        <v>1</v>
      </c>
      <c r="F26" s="8" cm="1">
        <f t="array" ref="F26">IFERROR(_xlfn.SWITCH(HLOOKUP(A26, 'Indicator Mapping'!$B$4:$W$5, 2, FALSE), "P", 1, "S", 0.5, 0), 0)</f>
        <v>1</v>
      </c>
      <c r="G26" s="8">
        <v>1</v>
      </c>
      <c r="H26" s="8" cm="1">
        <f t="array" ref="H26">_xlfn.SWITCH(HLOOKUP(A26, 'Indicator Mapping'!$A$4:$W$12, 5, FALSE), "P", 1, "S", 0.5, 0)</f>
        <v>1</v>
      </c>
      <c r="I26" s="8">
        <v>1</v>
      </c>
      <c r="J26" s="8">
        <f t="shared" si="2"/>
        <v>1</v>
      </c>
      <c r="K26" s="8">
        <f t="shared" si="3"/>
        <v>2</v>
      </c>
      <c r="L26" s="9">
        <f t="shared" si="4"/>
        <v>3190000000</v>
      </c>
    </row>
    <row r="27" spans="1:12" x14ac:dyDescent="0.25">
      <c r="A27" s="6" t="s">
        <v>33</v>
      </c>
      <c r="B27" s="6" t="s">
        <v>34</v>
      </c>
      <c r="C27" s="7">
        <v>0</v>
      </c>
      <c r="D27" s="7">
        <f t="shared" si="0"/>
        <v>1000</v>
      </c>
      <c r="E27" s="8">
        <f t="shared" si="1"/>
        <v>1</v>
      </c>
      <c r="F27" s="8" cm="1">
        <f t="array" ref="F27">IFERROR(_xlfn.SWITCH(HLOOKUP(A27, 'Indicator Mapping'!$B$4:$W$5, 2, FALSE), "P", 1, "S", 0.5, 0), 0)</f>
        <v>1</v>
      </c>
      <c r="G27" s="8">
        <v>1</v>
      </c>
      <c r="H27" s="8" cm="1">
        <f t="array" ref="H27">_xlfn.SWITCH(HLOOKUP(A27, 'Indicator Mapping'!$A$4:$W$12, 5, FALSE), "P", 1, "S", 0.5, 0)</f>
        <v>0</v>
      </c>
      <c r="I27" s="8">
        <v>1</v>
      </c>
      <c r="J27" s="8">
        <f t="shared" si="2"/>
        <v>1</v>
      </c>
      <c r="K27" s="8">
        <f t="shared" si="3"/>
        <v>1</v>
      </c>
      <c r="L27" s="9">
        <f t="shared" si="4"/>
        <v>0</v>
      </c>
    </row>
    <row r="28" spans="1:12" x14ac:dyDescent="0.25">
      <c r="A28" s="6" t="s">
        <v>35</v>
      </c>
      <c r="B28" s="6" t="s">
        <v>34</v>
      </c>
      <c r="C28" s="7">
        <v>2173</v>
      </c>
      <c r="D28" s="7">
        <f t="shared" si="0"/>
        <v>1000</v>
      </c>
      <c r="E28" s="8">
        <f t="shared" si="1"/>
        <v>1</v>
      </c>
      <c r="F28" s="8" cm="1">
        <f t="array" ref="F28">IFERROR(_xlfn.SWITCH(HLOOKUP(A28, 'Indicator Mapping'!$B$4:$W$5, 2, FALSE), "P", 1, "S", 0.5, 0), 0)</f>
        <v>0.5</v>
      </c>
      <c r="G28" s="8">
        <v>1</v>
      </c>
      <c r="H28" s="8" cm="1">
        <f t="array" ref="H28">_xlfn.SWITCH(HLOOKUP(A28, 'Indicator Mapping'!$A$4:$W$12, 5, FALSE), "P", 1, "S", 0.5, 0)</f>
        <v>0</v>
      </c>
      <c r="I28" s="8">
        <v>1</v>
      </c>
      <c r="J28" s="8">
        <f t="shared" si="2"/>
        <v>1</v>
      </c>
      <c r="K28" s="8">
        <f t="shared" si="3"/>
        <v>0.5</v>
      </c>
      <c r="L28" s="9">
        <f t="shared" si="4"/>
        <v>0</v>
      </c>
    </row>
    <row r="29" spans="1:12" x14ac:dyDescent="0.25">
      <c r="A29" s="6" t="s">
        <v>36</v>
      </c>
      <c r="B29" s="6" t="s">
        <v>34</v>
      </c>
      <c r="C29" s="7">
        <v>0</v>
      </c>
      <c r="D29" s="7">
        <f t="shared" si="0"/>
        <v>1000</v>
      </c>
      <c r="E29" s="8">
        <f t="shared" si="1"/>
        <v>1</v>
      </c>
      <c r="F29" s="8" cm="1">
        <f t="array" ref="F29">IFERROR(_xlfn.SWITCH(HLOOKUP(A29, 'Indicator Mapping'!$B$4:$W$5, 2, FALSE), "P", 1, "S", 0.5, 0), 0)</f>
        <v>0</v>
      </c>
      <c r="G29" s="8">
        <v>1</v>
      </c>
      <c r="H29" s="8" cm="1">
        <f t="array" ref="H29">_xlfn.SWITCH(HLOOKUP(A29, 'Indicator Mapping'!$A$4:$W$12, 5, FALSE), "P", 1, "S", 0.5, 0)</f>
        <v>0</v>
      </c>
      <c r="I29" s="8">
        <v>1</v>
      </c>
      <c r="J29" s="8">
        <f t="shared" si="2"/>
        <v>1</v>
      </c>
      <c r="K29" s="8">
        <f t="shared" si="3"/>
        <v>0</v>
      </c>
      <c r="L29" s="9">
        <f t="shared" si="4"/>
        <v>0</v>
      </c>
    </row>
    <row r="30" spans="1:12" x14ac:dyDescent="0.25">
      <c r="A30" s="6" t="s">
        <v>37</v>
      </c>
      <c r="B30" s="6" t="s">
        <v>34</v>
      </c>
      <c r="C30" s="7">
        <v>0</v>
      </c>
      <c r="D30" s="7">
        <f t="shared" si="0"/>
        <v>1000</v>
      </c>
      <c r="E30" s="8">
        <f t="shared" si="1"/>
        <v>1</v>
      </c>
      <c r="F30" s="8" cm="1">
        <f t="array" ref="F30">IFERROR(_xlfn.SWITCH(HLOOKUP(A30, 'Indicator Mapping'!$B$4:$W$5, 2, FALSE), "P", 1, "S", 0.5, 0), 0)</f>
        <v>0</v>
      </c>
      <c r="G30" s="8">
        <v>1</v>
      </c>
      <c r="H30" s="8" cm="1">
        <f t="array" ref="H30">_xlfn.SWITCH(HLOOKUP(A30, 'Indicator Mapping'!$A$4:$W$12, 5, FALSE), "P", 1, "S", 0.5, 0)</f>
        <v>0</v>
      </c>
      <c r="I30" s="8">
        <v>1</v>
      </c>
      <c r="J30" s="8">
        <f t="shared" si="2"/>
        <v>1</v>
      </c>
      <c r="K30" s="8">
        <f t="shared" si="3"/>
        <v>0</v>
      </c>
      <c r="L30" s="9">
        <f t="shared" si="4"/>
        <v>0</v>
      </c>
    </row>
    <row r="31" spans="1:12" x14ac:dyDescent="0.25">
      <c r="A31" s="6" t="s">
        <v>38</v>
      </c>
      <c r="B31" s="6" t="s">
        <v>34</v>
      </c>
      <c r="C31" s="7">
        <v>0</v>
      </c>
      <c r="D31" s="7">
        <f t="shared" si="0"/>
        <v>1000</v>
      </c>
      <c r="E31" s="8">
        <f t="shared" si="1"/>
        <v>1</v>
      </c>
      <c r="F31" s="8" cm="1">
        <f t="array" ref="F31">IFERROR(_xlfn.SWITCH(HLOOKUP(A31, 'Indicator Mapping'!$B$4:$W$5, 2, FALSE), "P", 1, "S", 0.5, 0), 0)</f>
        <v>0</v>
      </c>
      <c r="G31" s="8">
        <v>1</v>
      </c>
      <c r="H31" s="8" cm="1">
        <f t="array" ref="H31">_xlfn.SWITCH(HLOOKUP(A31, 'Indicator Mapping'!$A$4:$W$12, 5, FALSE), "P", 1, "S", 0.5, 0)</f>
        <v>0</v>
      </c>
      <c r="I31" s="8">
        <v>1</v>
      </c>
      <c r="J31" s="8">
        <f t="shared" si="2"/>
        <v>1</v>
      </c>
      <c r="K31" s="8">
        <f t="shared" si="3"/>
        <v>0</v>
      </c>
      <c r="L31" s="9">
        <f t="shared" si="4"/>
        <v>0</v>
      </c>
    </row>
    <row r="32" spans="1:12" ht="15.75" x14ac:dyDescent="0.25">
      <c r="A32" s="27" t="s">
        <v>39</v>
      </c>
      <c r="B32" s="23"/>
      <c r="C32" s="23"/>
      <c r="D32" s="23"/>
      <c r="E32" s="23"/>
      <c r="F32" s="23"/>
      <c r="G32" s="23"/>
      <c r="H32" s="23"/>
      <c r="I32" s="23"/>
      <c r="J32" s="23"/>
      <c r="L32" s="10">
        <f>SUM(L10:L31)</f>
        <v>16877029835</v>
      </c>
    </row>
    <row r="33" spans="1:12" x14ac:dyDescent="0.25">
      <c r="A33" s="22" t="s">
        <v>40</v>
      </c>
      <c r="B33" s="23"/>
      <c r="C33" s="23"/>
      <c r="D33" s="23"/>
      <c r="E33" s="23"/>
      <c r="F33" s="23"/>
      <c r="G33" s="23"/>
      <c r="H33" s="23"/>
      <c r="I33" s="23"/>
      <c r="J33" s="23"/>
      <c r="L33" s="11">
        <f>L32/$B$4</f>
        <v>16877029.835000001</v>
      </c>
    </row>
    <row r="35" spans="1:12" x14ac:dyDescent="0.25">
      <c r="A35" s="28" t="s">
        <v>41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 x14ac:dyDescent="0.25">
      <c r="A36" s="24" t="s">
        <v>42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 x14ac:dyDescent="0.25">
      <c r="A37" s="24" t="s">
        <v>43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 x14ac:dyDescent="0.25">
      <c r="A38" s="24" t="s">
        <v>44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x14ac:dyDescent="0.25">
      <c r="A39" s="24" t="s">
        <v>45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x14ac:dyDescent="0.25">
      <c r="A40" s="24" t="s">
        <v>46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</sheetData>
  <mergeCells count="10">
    <mergeCell ref="A33:J33"/>
    <mergeCell ref="A36:L36"/>
    <mergeCell ref="A1:L1"/>
    <mergeCell ref="A40:L40"/>
    <mergeCell ref="A3:L3"/>
    <mergeCell ref="A39:L39"/>
    <mergeCell ref="A32:J32"/>
    <mergeCell ref="A35:L35"/>
    <mergeCell ref="A38:L38"/>
    <mergeCell ref="A37:L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"/>
  <sheetViews>
    <sheetView workbookViewId="0">
      <selection activeCell="A8" sqref="A8"/>
    </sheetView>
  </sheetViews>
  <sheetFormatPr defaultRowHeight="15" x14ac:dyDescent="0.25"/>
  <cols>
    <col min="1" max="1" width="36" customWidth="1"/>
    <col min="2" max="23" width="6" customWidth="1"/>
  </cols>
  <sheetData>
    <row r="1" spans="1:26" ht="18.75" x14ac:dyDescent="0.3">
      <c r="A1" s="25" t="s">
        <v>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6" customHeight="1" x14ac:dyDescent="0.25">
      <c r="A2" s="29" t="s">
        <v>48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4" spans="1:26" ht="140.1" customHeight="1" x14ac:dyDescent="0.25">
      <c r="A4" s="5" t="s">
        <v>49</v>
      </c>
      <c r="B4" s="12" t="s">
        <v>13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22</v>
      </c>
      <c r="J4" s="12" t="s">
        <v>23</v>
      </c>
      <c r="K4" s="12" t="s">
        <v>24</v>
      </c>
      <c r="L4" s="12" t="s">
        <v>25</v>
      </c>
      <c r="M4" s="12" t="s">
        <v>26</v>
      </c>
      <c r="N4" s="12" t="s">
        <v>27</v>
      </c>
      <c r="O4" s="12" t="s">
        <v>28</v>
      </c>
      <c r="P4" s="12" t="s">
        <v>29</v>
      </c>
      <c r="Q4" s="12" t="s">
        <v>30</v>
      </c>
      <c r="R4" s="12" t="s">
        <v>32</v>
      </c>
      <c r="S4" s="12" t="s">
        <v>33</v>
      </c>
      <c r="T4" s="12" t="s">
        <v>35</v>
      </c>
      <c r="U4" s="12" t="s">
        <v>36</v>
      </c>
      <c r="V4" s="12" t="s">
        <v>37</v>
      </c>
      <c r="W4" s="12" t="s">
        <v>38</v>
      </c>
    </row>
    <row r="5" spans="1:26" x14ac:dyDescent="0.25">
      <c r="A5" s="13" t="s">
        <v>50</v>
      </c>
      <c r="B5" s="14" t="s">
        <v>51</v>
      </c>
      <c r="C5" s="14" t="s">
        <v>51</v>
      </c>
      <c r="D5" s="5" t="s">
        <v>52</v>
      </c>
      <c r="E5" s="15"/>
      <c r="F5" s="15"/>
      <c r="G5" s="15"/>
      <c r="H5" s="5" t="s">
        <v>52</v>
      </c>
      <c r="I5" s="5" t="s">
        <v>52</v>
      </c>
      <c r="J5" s="5" t="s">
        <v>52</v>
      </c>
      <c r="K5" s="15"/>
      <c r="L5" s="14" t="s">
        <v>51</v>
      </c>
      <c r="M5" s="5" t="s">
        <v>52</v>
      </c>
      <c r="N5" s="15"/>
      <c r="O5" s="15"/>
      <c r="P5" s="15"/>
      <c r="Q5" s="15"/>
      <c r="R5" s="5" t="s">
        <v>52</v>
      </c>
      <c r="S5" s="5" t="s">
        <v>52</v>
      </c>
      <c r="T5" s="14" t="s">
        <v>51</v>
      </c>
      <c r="U5" s="15"/>
      <c r="V5" s="15"/>
      <c r="W5" s="15"/>
    </row>
    <row r="6" spans="1:26" x14ac:dyDescent="0.25">
      <c r="A6" s="13" t="s">
        <v>53</v>
      </c>
      <c r="B6" s="15"/>
      <c r="C6" s="15"/>
      <c r="D6" s="14" t="s">
        <v>51</v>
      </c>
      <c r="E6" s="15"/>
      <c r="F6" s="15"/>
      <c r="G6" s="15"/>
      <c r="H6" s="15"/>
      <c r="I6" s="14" t="s">
        <v>51</v>
      </c>
      <c r="J6" s="15"/>
      <c r="K6" s="15"/>
      <c r="L6" s="15"/>
      <c r="M6" s="15"/>
      <c r="N6" s="15"/>
      <c r="O6" s="15"/>
      <c r="P6" s="15"/>
      <c r="Q6" s="15"/>
      <c r="R6" s="5" t="s">
        <v>52</v>
      </c>
      <c r="S6" s="15"/>
      <c r="T6" s="15"/>
      <c r="U6" s="15"/>
      <c r="V6" s="15"/>
      <c r="W6" s="15"/>
    </row>
    <row r="7" spans="1:26" x14ac:dyDescent="0.25">
      <c r="A7" s="13" t="s">
        <v>54</v>
      </c>
      <c r="B7" s="15"/>
      <c r="C7" s="15"/>
      <c r="D7" s="14" t="s">
        <v>51</v>
      </c>
      <c r="E7" s="14" t="s">
        <v>51</v>
      </c>
      <c r="F7" s="15"/>
      <c r="G7" s="15"/>
      <c r="H7" s="15"/>
      <c r="I7" s="14" t="s">
        <v>51</v>
      </c>
      <c r="J7" s="15"/>
      <c r="K7" s="15"/>
      <c r="L7" s="15"/>
      <c r="M7" s="15"/>
      <c r="N7" s="15"/>
      <c r="O7" s="15"/>
      <c r="P7" s="15"/>
      <c r="Q7" s="15"/>
      <c r="R7" s="5" t="s">
        <v>52</v>
      </c>
      <c r="S7" s="15"/>
      <c r="T7" s="15"/>
      <c r="U7" s="15"/>
      <c r="V7" s="15"/>
      <c r="W7" s="15"/>
    </row>
    <row r="8" spans="1:26" x14ac:dyDescent="0.25">
      <c r="A8" s="13" t="s">
        <v>55</v>
      </c>
      <c r="B8" s="14" t="s">
        <v>51</v>
      </c>
      <c r="C8" s="5" t="s">
        <v>52</v>
      </c>
      <c r="D8" s="15"/>
      <c r="E8" s="15"/>
      <c r="F8" s="15"/>
      <c r="G8" s="15"/>
      <c r="H8" s="15"/>
      <c r="I8" s="14" t="s">
        <v>51</v>
      </c>
      <c r="J8" s="5" t="s">
        <v>52</v>
      </c>
      <c r="K8" s="5" t="s">
        <v>52</v>
      </c>
      <c r="L8" s="5" t="s">
        <v>52</v>
      </c>
      <c r="M8" s="15"/>
      <c r="N8" s="15"/>
      <c r="O8" s="15"/>
      <c r="P8" s="15"/>
      <c r="Q8" s="15"/>
      <c r="R8" s="5" t="s">
        <v>52</v>
      </c>
      <c r="S8" s="15"/>
      <c r="T8" s="15"/>
      <c r="U8" s="15"/>
      <c r="V8" s="15"/>
      <c r="W8" s="15"/>
    </row>
    <row r="9" spans="1:26" x14ac:dyDescent="0.25">
      <c r="A9" s="13" t="s">
        <v>56</v>
      </c>
      <c r="B9" s="5" t="s">
        <v>52</v>
      </c>
      <c r="C9" s="5" t="s">
        <v>52</v>
      </c>
      <c r="D9" s="15"/>
      <c r="E9" s="15"/>
      <c r="F9" s="15"/>
      <c r="G9" s="15"/>
      <c r="H9" s="15"/>
      <c r="I9" s="15"/>
      <c r="J9" s="15"/>
      <c r="K9" s="15"/>
      <c r="L9" s="5" t="s">
        <v>52</v>
      </c>
      <c r="M9" s="15"/>
      <c r="N9" s="15"/>
      <c r="O9" s="15"/>
      <c r="P9" s="15"/>
      <c r="Q9" s="15"/>
      <c r="R9" s="14" t="s">
        <v>51</v>
      </c>
      <c r="S9" s="5" t="s">
        <v>52</v>
      </c>
      <c r="T9" s="5" t="s">
        <v>52</v>
      </c>
      <c r="U9" s="15"/>
      <c r="V9" s="15"/>
      <c r="W9" s="15"/>
    </row>
    <row r="10" spans="1:26" x14ac:dyDescent="0.25">
      <c r="A10" s="13" t="s">
        <v>57</v>
      </c>
      <c r="B10" s="14" t="s">
        <v>51</v>
      </c>
      <c r="C10" s="15"/>
      <c r="D10" s="15"/>
      <c r="E10" s="14" t="s">
        <v>51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5" t="s">
        <v>52</v>
      </c>
      <c r="S10" s="14" t="s">
        <v>51</v>
      </c>
      <c r="T10" s="5" t="s">
        <v>52</v>
      </c>
      <c r="U10" s="5" t="s">
        <v>52</v>
      </c>
      <c r="V10" s="5" t="s">
        <v>52</v>
      </c>
      <c r="W10" s="15"/>
    </row>
    <row r="11" spans="1:26" x14ac:dyDescent="0.25">
      <c r="A11" s="13" t="s">
        <v>58</v>
      </c>
      <c r="B11" s="14" t="s">
        <v>51</v>
      </c>
      <c r="C11" s="14" t="s">
        <v>51</v>
      </c>
      <c r="D11" s="15"/>
      <c r="E11" s="14" t="s">
        <v>51</v>
      </c>
      <c r="F11" s="15"/>
      <c r="G11" s="15"/>
      <c r="H11" s="14" t="s">
        <v>51</v>
      </c>
      <c r="I11" s="14" t="s">
        <v>51</v>
      </c>
      <c r="J11" s="14" t="s">
        <v>51</v>
      </c>
      <c r="K11" s="14" t="s">
        <v>51</v>
      </c>
      <c r="L11" s="14" t="s">
        <v>51</v>
      </c>
      <c r="M11" s="14" t="s">
        <v>51</v>
      </c>
      <c r="N11" s="15"/>
      <c r="O11" s="15"/>
      <c r="P11" s="15"/>
      <c r="Q11" s="15"/>
      <c r="R11" s="5" t="s">
        <v>52</v>
      </c>
      <c r="S11" s="15"/>
      <c r="T11" s="14" t="s">
        <v>51</v>
      </c>
      <c r="U11" s="15"/>
      <c r="V11" s="15"/>
      <c r="W11" s="15"/>
    </row>
    <row r="12" spans="1:26" x14ac:dyDescent="0.25">
      <c r="A12" s="16" t="s">
        <v>59</v>
      </c>
      <c r="B12" s="17" t="s">
        <v>60</v>
      </c>
      <c r="C12" s="17" t="s">
        <v>60</v>
      </c>
      <c r="D12" s="17" t="s">
        <v>60</v>
      </c>
      <c r="E12" s="17" t="s">
        <v>60</v>
      </c>
      <c r="F12" s="17" t="s">
        <v>60</v>
      </c>
      <c r="G12" s="17" t="s">
        <v>60</v>
      </c>
      <c r="H12" s="17" t="s">
        <v>60</v>
      </c>
      <c r="I12" s="17" t="s">
        <v>60</v>
      </c>
      <c r="J12" s="17" t="s">
        <v>60</v>
      </c>
      <c r="K12" s="17" t="s">
        <v>60</v>
      </c>
      <c r="L12" s="17" t="s">
        <v>60</v>
      </c>
      <c r="M12" s="17" t="s">
        <v>60</v>
      </c>
      <c r="N12" s="15"/>
      <c r="O12" s="17" t="s">
        <v>60</v>
      </c>
      <c r="P12" s="15"/>
      <c r="Q12" s="15"/>
      <c r="R12" s="17" t="s">
        <v>60</v>
      </c>
      <c r="S12" s="17" t="s">
        <v>60</v>
      </c>
      <c r="T12" s="17" t="s">
        <v>60</v>
      </c>
      <c r="U12" s="17" t="s">
        <v>60</v>
      </c>
      <c r="V12" s="17" t="s">
        <v>60</v>
      </c>
      <c r="W12" s="15"/>
    </row>
    <row r="14" spans="1:26" x14ac:dyDescent="0.25">
      <c r="A14" s="18" t="s">
        <v>61</v>
      </c>
    </row>
    <row r="15" spans="1:26" x14ac:dyDescent="0.25">
      <c r="A15" t="s">
        <v>62</v>
      </c>
      <c r="B15" s="19" t="s">
        <v>52</v>
      </c>
    </row>
    <row r="16" spans="1:26" x14ac:dyDescent="0.25">
      <c r="A16" t="s">
        <v>63</v>
      </c>
      <c r="B16" s="20" t="s">
        <v>51</v>
      </c>
    </row>
    <row r="17" spans="1:2" x14ac:dyDescent="0.25">
      <c r="A17" t="s">
        <v>64</v>
      </c>
      <c r="B17" s="21" t="s">
        <v>60</v>
      </c>
    </row>
    <row r="18" spans="1:2" x14ac:dyDescent="0.25">
      <c r="A18" s="4" t="s">
        <v>65</v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Mangrove Calculator</vt:lpstr>
      <vt:lpstr>Indicator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Simmons</cp:lastModifiedBy>
  <dcterms:created xsi:type="dcterms:W3CDTF">2026-05-12T12:28:41Z</dcterms:created>
  <dcterms:modified xsi:type="dcterms:W3CDTF">2026-05-12T17:15:39Z</dcterms:modified>
</cp:coreProperties>
</file>